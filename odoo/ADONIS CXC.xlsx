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ni\Downloads\ETL-CTAS\odoo\"/>
    </mc:Choice>
  </mc:AlternateContent>
  <xr:revisionPtr revIDLastSave="0" documentId="13_ncr:1_{32C9C54B-6688-49F7-96B9-68BDD86D9847}" xr6:coauthVersionLast="47" xr6:coauthVersionMax="47" xr10:uidLastSave="{00000000-0000-0000-0000-000000000000}"/>
  <bookViews>
    <workbookView xWindow="-108" yWindow="-108" windowWidth="23256" windowHeight="13176" xr2:uid="{E6FCE6CC-A665-40A2-B490-C7567D2DF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H6" i="1"/>
  <c r="G7" i="1"/>
  <c r="H7" i="1"/>
  <c r="H8" i="1" s="1"/>
  <c r="G8" i="1"/>
  <c r="D9" i="1"/>
  <c r="D22" i="1"/>
  <c r="G11" i="1"/>
  <c r="F22" i="1"/>
  <c r="E22" i="1"/>
  <c r="G10" i="1"/>
  <c r="H10" i="1" l="1"/>
  <c r="H11" i="1" s="1"/>
</calcChain>
</file>

<file path=xl/sharedStrings.xml><?xml version="1.0" encoding="utf-8"?>
<sst xmlns="http://schemas.openxmlformats.org/spreadsheetml/2006/main" count="22" uniqueCount="22">
  <si>
    <t>PROVISION VIRTUAL</t>
  </si>
  <si>
    <t>ENERO.26</t>
  </si>
  <si>
    <t>FEBRERO.26</t>
  </si>
  <si>
    <t>MARZO.26</t>
  </si>
  <si>
    <t>ABRIL.26</t>
  </si>
  <si>
    <t>MAYO.26</t>
  </si>
  <si>
    <t>JUNIO.26</t>
  </si>
  <si>
    <t>JULIO.26</t>
  </si>
  <si>
    <t>AGOSTO.26</t>
  </si>
  <si>
    <t>SEPTIEMBRE.26</t>
  </si>
  <si>
    <t>OCTUBRE.26</t>
  </si>
  <si>
    <t>NOVIEMBRE.26</t>
  </si>
  <si>
    <t>DICIEMBRE.26</t>
  </si>
  <si>
    <t>AÑO 2023</t>
  </si>
  <si>
    <t>AÑO 2024</t>
  </si>
  <si>
    <t>AÑO 2025</t>
  </si>
  <si>
    <t>SALDOS MES CARTERA</t>
  </si>
  <si>
    <t>AL 31.12.25</t>
  </si>
  <si>
    <t>PAGOS ENE.26</t>
  </si>
  <si>
    <t>PAGOS FEB.26</t>
  </si>
  <si>
    <t>CARTERA ACUMULADA AL 28.02.26</t>
  </si>
  <si>
    <t>AFILIADOS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</si>
</sst>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0" fillId="0" borderId="1" xfId="0" applyBorder="1"/>
    <xf numFmtId="0" fontId="0" fillId="2" borderId="1" xfId="0" applyFill="1" applyBorder="1"/>
    <xf numFmtId="44" fontId="0" fillId="2" borderId="1" xfId="1" applyFont="1" applyFill="1" applyBorder="1"/>
    <xf numFmtId="0" fontId="0" fillId="3" borderId="1" xfId="0" applyFill="1" applyBorder="1"/>
    <xf numFmtId="44" fontId="0" fillId="3" borderId="1" xfId="1" applyFont="1" applyFill="1" applyBorder="1"/>
    <xf numFmtId="44" fontId="3" fillId="2" borderId="1" xfId="1" applyFont="1" applyFill="1" applyBorder="1"/>
    <xf numFmtId="44" fontId="3" fillId="3" borderId="1" xfId="1" applyFont="1" applyFill="1" applyBorder="1"/>
    <xf numFmtId="44" fontId="3" fillId="0" borderId="0" xfId="1" applyFont="1"/>
    <xf numFmtId="44" fontId="3" fillId="4" borderId="1" xfId="1" applyFont="1" applyFill="1" applyBorder="1"/>
    <xf numFmtId="0" fontId="2" fillId="5" borderId="1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C027-E2F9-48CA-B776-DCA832AC4F8C}">
  <dimension ref="B5:H24"/>
  <sheetViews>
    <sheetView showGridLines="0" tabSelected="1" workbookViewId="0">
      <selection activeCell="M19" sqref="M19"/>
    </sheetView>
  </sheetViews>
  <sheetFormatPr baseColWidth="10" defaultRowHeight="14.4" x14ac:dyDescent="0.3"/>
  <cols>
    <col min="3" max="3" width="11.109375" bestFit="1" customWidth="1"/>
    <col min="4" max="4" width="17.5546875" bestFit="1" customWidth="1"/>
    <col min="5" max="6" width="13.109375" bestFit="1" customWidth="1"/>
    <col min="7" max="7" width="19.44140625" bestFit="1" customWidth="1"/>
    <col min="8" max="8" width="29.5546875" bestFit="1" customWidth="1"/>
  </cols>
  <sheetData>
    <row r="5" spans="2:8" x14ac:dyDescent="0.3">
      <c r="B5" t="s">
        <v>21</v>
      </c>
      <c r="C5" s="2"/>
      <c r="D5" s="2" t="s">
        <v>0</v>
      </c>
      <c r="E5" s="2" t="s">
        <v>18</v>
      </c>
      <c r="F5" s="2" t="s">
        <v>19</v>
      </c>
      <c r="G5" s="2" t="s">
        <v>16</v>
      </c>
      <c r="H5" s="11" t="s">
        <v>20</v>
      </c>
    </row>
    <row r="6" spans="2:8" x14ac:dyDescent="0.3">
      <c r="C6" s="3" t="s">
        <v>13</v>
      </c>
      <c r="D6" s="4">
        <v>60000</v>
      </c>
      <c r="E6" s="4">
        <v>10000</v>
      </c>
      <c r="F6" s="4">
        <v>0</v>
      </c>
      <c r="G6" s="4">
        <f>+D6-E6-F6</f>
        <v>50000</v>
      </c>
      <c r="H6" s="7">
        <f>+G6</f>
        <v>50000</v>
      </c>
    </row>
    <row r="7" spans="2:8" x14ac:dyDescent="0.3">
      <c r="C7" s="3" t="s">
        <v>14</v>
      </c>
      <c r="D7" s="4">
        <v>80000</v>
      </c>
      <c r="E7" s="4">
        <v>5000</v>
      </c>
      <c r="F7" s="4">
        <v>1000</v>
      </c>
      <c r="G7" s="4">
        <f>+D7-E7-F7</f>
        <v>74000</v>
      </c>
      <c r="H7" s="7">
        <f>+H6+G7</f>
        <v>124000</v>
      </c>
    </row>
    <row r="8" spans="2:8" x14ac:dyDescent="0.3">
      <c r="C8" s="3" t="s">
        <v>15</v>
      </c>
      <c r="D8" s="4">
        <v>160000</v>
      </c>
      <c r="E8" s="4">
        <v>20000</v>
      </c>
      <c r="F8" s="4">
        <v>30000</v>
      </c>
      <c r="G8" s="4">
        <f>+D8-E8-F8</f>
        <v>110000</v>
      </c>
      <c r="H8" s="10">
        <f>+H7+G8</f>
        <v>234000</v>
      </c>
    </row>
    <row r="9" spans="2:8" x14ac:dyDescent="0.3">
      <c r="C9" s="11" t="s">
        <v>17</v>
      </c>
      <c r="D9" s="4">
        <f>SUM(D6:D8)</f>
        <v>300000</v>
      </c>
      <c r="E9" s="4"/>
      <c r="F9" s="4"/>
      <c r="G9" s="4"/>
      <c r="H9" s="7"/>
    </row>
    <row r="10" spans="2:8" x14ac:dyDescent="0.3">
      <c r="B10">
        <v>1663</v>
      </c>
      <c r="C10" s="5" t="s">
        <v>1</v>
      </c>
      <c r="D10" s="6">
        <v>41000</v>
      </c>
      <c r="E10" s="6">
        <v>25000</v>
      </c>
      <c r="F10" s="6"/>
      <c r="G10" s="6">
        <f>+D10-E10</f>
        <v>16000</v>
      </c>
      <c r="H10" s="8">
        <f>+H8+G10</f>
        <v>250000</v>
      </c>
    </row>
    <row r="11" spans="2:8" x14ac:dyDescent="0.3">
      <c r="B11">
        <v>1660</v>
      </c>
      <c r="C11" s="5" t="s">
        <v>2</v>
      </c>
      <c r="D11" s="6">
        <v>40000</v>
      </c>
      <c r="E11" s="6"/>
      <c r="F11" s="6">
        <v>20000</v>
      </c>
      <c r="G11" s="6">
        <f>+D11-F11</f>
        <v>20000</v>
      </c>
      <c r="H11" s="8">
        <f>+H10+G11</f>
        <v>270000</v>
      </c>
    </row>
    <row r="12" spans="2:8" x14ac:dyDescent="0.3">
      <c r="C12" s="5" t="s">
        <v>3</v>
      </c>
      <c r="D12" s="6"/>
      <c r="E12" s="6"/>
      <c r="F12" s="6"/>
      <c r="G12" s="6"/>
      <c r="H12" s="8"/>
    </row>
    <row r="13" spans="2:8" x14ac:dyDescent="0.3">
      <c r="C13" s="5" t="s">
        <v>4</v>
      </c>
      <c r="D13" s="6"/>
      <c r="E13" s="6"/>
      <c r="F13" s="6"/>
      <c r="G13" s="6"/>
      <c r="H13" s="8"/>
    </row>
    <row r="14" spans="2:8" x14ac:dyDescent="0.3">
      <c r="C14" s="5" t="s">
        <v>5</v>
      </c>
      <c r="D14" s="6"/>
      <c r="E14" s="6"/>
      <c r="F14" s="6"/>
      <c r="G14" s="6"/>
      <c r="H14" s="8"/>
    </row>
    <row r="15" spans="2:8" x14ac:dyDescent="0.3">
      <c r="C15" s="5" t="s">
        <v>6</v>
      </c>
      <c r="D15" s="6"/>
      <c r="E15" s="6"/>
      <c r="F15" s="6"/>
      <c r="G15" s="6"/>
      <c r="H15" s="8"/>
    </row>
    <row r="16" spans="2:8" x14ac:dyDescent="0.3">
      <c r="C16" s="5" t="s">
        <v>7</v>
      </c>
      <c r="D16" s="6"/>
      <c r="E16" s="6"/>
      <c r="F16" s="6"/>
      <c r="G16" s="6"/>
      <c r="H16" s="8"/>
    </row>
    <row r="17" spans="3:8" x14ac:dyDescent="0.3">
      <c r="C17" s="5" t="s">
        <v>8</v>
      </c>
      <c r="D17" s="6"/>
      <c r="E17" s="6"/>
      <c r="F17" s="6"/>
      <c r="G17" s="6"/>
      <c r="H17" s="8"/>
    </row>
    <row r="18" spans="3:8" x14ac:dyDescent="0.3">
      <c r="C18" s="5" t="s">
        <v>9</v>
      </c>
      <c r="D18" s="6"/>
      <c r="E18" s="6"/>
      <c r="F18" s="6"/>
      <c r="G18" s="6"/>
      <c r="H18" s="8"/>
    </row>
    <row r="19" spans="3:8" x14ac:dyDescent="0.3">
      <c r="C19" s="5" t="s">
        <v>10</v>
      </c>
      <c r="D19" s="6"/>
      <c r="E19" s="6"/>
      <c r="F19" s="6"/>
      <c r="G19" s="6"/>
      <c r="H19" s="8"/>
    </row>
    <row r="20" spans="3:8" x14ac:dyDescent="0.3">
      <c r="C20" s="5" t="s">
        <v>11</v>
      </c>
      <c r="D20" s="6"/>
      <c r="E20" s="6"/>
      <c r="F20" s="6"/>
      <c r="G20" s="6"/>
      <c r="H20" s="8"/>
    </row>
    <row r="21" spans="3:8" x14ac:dyDescent="0.3">
      <c r="C21" s="5" t="s">
        <v>12</v>
      </c>
      <c r="D21" s="6"/>
      <c r="E21" s="6"/>
      <c r="F21" s="6"/>
      <c r="G21" s="6"/>
      <c r="H21" s="8"/>
    </row>
    <row r="22" spans="3:8" x14ac:dyDescent="0.3">
      <c r="D22" s="1">
        <f>SUM(D10:D21)</f>
        <v>81000</v>
      </c>
      <c r="E22" s="1">
        <f>SUM(E6:E21)</f>
        <v>60000</v>
      </c>
      <c r="F22" s="1">
        <f>SUM(F6:F21)</f>
        <v>51000</v>
      </c>
      <c r="G22" s="1"/>
      <c r="H22" s="9"/>
    </row>
    <row r="23" spans="3:8" x14ac:dyDescent="0.3">
      <c r="D23" s="1"/>
      <c r="E23" s="1"/>
      <c r="F23" s="1"/>
      <c r="G23" s="1"/>
      <c r="H23" s="9"/>
    </row>
    <row r="24" spans="3:8" x14ac:dyDescent="0.3">
      <c r="D24" s="1"/>
      <c r="E24" s="1"/>
      <c r="F24" s="1"/>
      <c r="G24" s="1"/>
      <c r="H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Edwin Argueta</dc:creator>
  <cp:lastModifiedBy>Adonis Gómez</cp:lastModifiedBy>
  <dcterms:created xsi:type="dcterms:W3CDTF">2026-02-25T20:37:09Z</dcterms:created>
  <dcterms:modified xsi:type="dcterms:W3CDTF">2026-02-26T15:34:29Z</dcterms:modified>
</cp:coreProperties>
</file>